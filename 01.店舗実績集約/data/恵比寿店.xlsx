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02581\OneDrive - アサヒグループ\デスクトップ\Python\code\github用\01.店舗実績集約\data\"/>
    </mc:Choice>
  </mc:AlternateContent>
  <xr:revisionPtr revIDLastSave="0" documentId="13_ncr:1_{BA13BDCB-F04E-4EBA-BE41-29AD97A820D3}" xr6:coauthVersionLast="47" xr6:coauthVersionMax="47" xr10:uidLastSave="{00000000-0000-0000-0000-000000000000}"/>
  <bookViews>
    <workbookView xWindow="-110" yWindow="-110" windowWidth="19420" windowHeight="11500" xr2:uid="{71EE945B-874E-4569-8686-57C001667FB8}"/>
  </bookViews>
  <sheets>
    <sheet name="Octo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K8" i="1"/>
  <c r="K7" i="1"/>
  <c r="K6" i="1"/>
  <c r="K5" i="1"/>
  <c r="K4" i="1"/>
  <c r="I13" i="1"/>
</calcChain>
</file>

<file path=xl/sharedStrings.xml><?xml version="1.0" encoding="utf-8"?>
<sst xmlns="http://schemas.openxmlformats.org/spreadsheetml/2006/main" count="43" uniqueCount="32">
  <si>
    <t>店舗No</t>
    <rPh sb="0" eb="2">
      <t>テンポ</t>
    </rPh>
    <phoneticPr fontId="1"/>
  </si>
  <si>
    <t>店舗名</t>
    <rPh sb="0" eb="3">
      <t>テンポメイ</t>
    </rPh>
    <phoneticPr fontId="1"/>
  </si>
  <si>
    <t>月予算</t>
    <rPh sb="0" eb="3">
      <t>ツキヨサン</t>
    </rPh>
    <phoneticPr fontId="1"/>
  </si>
  <si>
    <t>A00001</t>
    <phoneticPr fontId="1"/>
  </si>
  <si>
    <t>企画No</t>
    <rPh sb="0" eb="2">
      <t>キカク</t>
    </rPh>
    <phoneticPr fontId="1"/>
  </si>
  <si>
    <t>企画名</t>
    <rPh sb="0" eb="3">
      <t>キカクメイ</t>
    </rPh>
    <phoneticPr fontId="1"/>
  </si>
  <si>
    <t>企画1</t>
    <rPh sb="0" eb="2">
      <t>キカク</t>
    </rPh>
    <phoneticPr fontId="1"/>
  </si>
  <si>
    <t>企画2</t>
    <rPh sb="0" eb="2">
      <t>キカク</t>
    </rPh>
    <phoneticPr fontId="1"/>
  </si>
  <si>
    <t>企画3</t>
    <rPh sb="0" eb="2">
      <t>キカク</t>
    </rPh>
    <phoneticPr fontId="1"/>
  </si>
  <si>
    <t>企画4</t>
    <rPh sb="0" eb="2">
      <t>キカク</t>
    </rPh>
    <phoneticPr fontId="1"/>
  </si>
  <si>
    <t>企画5</t>
    <rPh sb="0" eb="2">
      <t>キカク</t>
    </rPh>
    <phoneticPr fontId="1"/>
  </si>
  <si>
    <t>企画6</t>
    <rPh sb="0" eb="2">
      <t>キカク</t>
    </rPh>
    <phoneticPr fontId="1"/>
  </si>
  <si>
    <t>企画7</t>
    <rPh sb="0" eb="2">
      <t>キカク</t>
    </rPh>
    <phoneticPr fontId="1"/>
  </si>
  <si>
    <t>企画8</t>
    <rPh sb="0" eb="2">
      <t>キカク</t>
    </rPh>
    <phoneticPr fontId="1"/>
  </si>
  <si>
    <t>企画9</t>
    <rPh sb="0" eb="2">
      <t>キカク</t>
    </rPh>
    <phoneticPr fontId="1"/>
  </si>
  <si>
    <t>企画10</t>
    <rPh sb="0" eb="2">
      <t>キカク</t>
    </rPh>
    <phoneticPr fontId="1"/>
  </si>
  <si>
    <t>企画区分①</t>
    <rPh sb="0" eb="4">
      <t>キカククブン</t>
    </rPh>
    <phoneticPr fontId="1"/>
  </si>
  <si>
    <t>企画区分②</t>
    <rPh sb="0" eb="4">
      <t>キカククブン</t>
    </rPh>
    <phoneticPr fontId="1"/>
  </si>
  <si>
    <t>企画予算</t>
    <rPh sb="0" eb="4">
      <t>キカクヨサン</t>
    </rPh>
    <phoneticPr fontId="1"/>
  </si>
  <si>
    <t>企画終了日</t>
    <rPh sb="0" eb="5">
      <t>キカクシュウリョウビ</t>
    </rPh>
    <phoneticPr fontId="1"/>
  </si>
  <si>
    <t>企画開始日</t>
    <rPh sb="0" eb="4">
      <t>キカクカイシ</t>
    </rPh>
    <rPh sb="4" eb="5">
      <t>ヒ</t>
    </rPh>
    <phoneticPr fontId="1"/>
  </si>
  <si>
    <t>常設</t>
    <rPh sb="0" eb="2">
      <t>ジョウセツ</t>
    </rPh>
    <phoneticPr fontId="1"/>
  </si>
  <si>
    <t>本部</t>
    <rPh sb="0" eb="2">
      <t>ホンブ</t>
    </rPh>
    <phoneticPr fontId="1"/>
  </si>
  <si>
    <t>セール</t>
    <phoneticPr fontId="1"/>
  </si>
  <si>
    <t>商品1</t>
    <rPh sb="0" eb="2">
      <t>ショウヒン</t>
    </rPh>
    <phoneticPr fontId="1"/>
  </si>
  <si>
    <t>商品2</t>
    <rPh sb="0" eb="2">
      <t>ショウヒン</t>
    </rPh>
    <phoneticPr fontId="1"/>
  </si>
  <si>
    <t>商品3</t>
    <rPh sb="0" eb="2">
      <t>ショウヒン</t>
    </rPh>
    <phoneticPr fontId="1"/>
  </si>
  <si>
    <t>商品4</t>
    <rPh sb="0" eb="2">
      <t>ショウヒン</t>
    </rPh>
    <phoneticPr fontId="1"/>
  </si>
  <si>
    <t>商品5</t>
    <rPh sb="0" eb="2">
      <t>ショウヒン</t>
    </rPh>
    <phoneticPr fontId="1"/>
  </si>
  <si>
    <t>商品6</t>
    <rPh sb="0" eb="2">
      <t>ショウヒン</t>
    </rPh>
    <phoneticPr fontId="1"/>
  </si>
  <si>
    <t>合計</t>
    <rPh sb="0" eb="2">
      <t>ゴウケイ</t>
    </rPh>
    <phoneticPr fontId="1"/>
  </si>
  <si>
    <t>恵比寿店</t>
    <rPh sb="0" eb="4">
      <t>エビステン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</si>
</sst>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E404-F0A8-4B12-86CC-4CB4960637B4}">
  <dimension ref="B3:K14"/>
  <sheetViews>
    <sheetView tabSelected="1" workbookViewId="0">
      <selection activeCell="C5" sqref="C5"/>
    </sheetView>
  </sheetViews>
  <sheetFormatPr defaultRowHeight="17.5" x14ac:dyDescent="0.6"/>
  <cols>
    <col min="3" max="3" width="10.35546875" bestFit="1" customWidth="1"/>
    <col min="4" max="4" width="5.78515625" customWidth="1"/>
    <col min="5" max="5" width="6.35546875" bestFit="1" customWidth="1"/>
    <col min="9" max="9" width="10.35546875" style="1" bestFit="1" customWidth="1"/>
    <col min="10" max="11" width="10.640625" style="3" bestFit="1" customWidth="1"/>
  </cols>
  <sheetData>
    <row r="3" spans="2:11" x14ac:dyDescent="0.6">
      <c r="B3" t="s">
        <v>0</v>
      </c>
      <c r="C3" s="2" t="s">
        <v>3</v>
      </c>
      <c r="E3" t="s">
        <v>4</v>
      </c>
      <c r="F3" t="s">
        <v>5</v>
      </c>
      <c r="G3" t="s">
        <v>16</v>
      </c>
      <c r="H3" t="s">
        <v>17</v>
      </c>
      <c r="I3" s="1" t="s">
        <v>18</v>
      </c>
      <c r="J3" s="3" t="s">
        <v>20</v>
      </c>
      <c r="K3" s="3" t="s">
        <v>19</v>
      </c>
    </row>
    <row r="4" spans="2:11" x14ac:dyDescent="0.6">
      <c r="B4" t="s">
        <v>1</v>
      </c>
      <c r="C4" t="s">
        <v>31</v>
      </c>
      <c r="E4">
        <v>1</v>
      </c>
      <c r="F4" t="s">
        <v>6</v>
      </c>
      <c r="G4" t="s">
        <v>21</v>
      </c>
      <c r="H4" t="s">
        <v>24</v>
      </c>
      <c r="I4" s="1">
        <v>500000</v>
      </c>
      <c r="J4" s="3">
        <v>45962</v>
      </c>
      <c r="K4" s="3">
        <f>EOMONTH(J4,0)</f>
        <v>45991</v>
      </c>
    </row>
    <row r="5" spans="2:11" x14ac:dyDescent="0.6">
      <c r="B5" t="s">
        <v>2</v>
      </c>
      <c r="C5" s="1">
        <v>10000000</v>
      </c>
      <c r="E5">
        <v>2</v>
      </c>
      <c r="F5" t="s">
        <v>7</v>
      </c>
      <c r="G5" t="s">
        <v>21</v>
      </c>
      <c r="H5" t="s">
        <v>24</v>
      </c>
      <c r="I5" s="1">
        <v>1000000</v>
      </c>
      <c r="J5" s="3">
        <v>45962</v>
      </c>
      <c r="K5" s="3">
        <f t="shared" ref="K5:K8" si="0">EOMONTH(J5,0)</f>
        <v>45991</v>
      </c>
    </row>
    <row r="6" spans="2:11" x14ac:dyDescent="0.6">
      <c r="E6">
        <v>3</v>
      </c>
      <c r="F6" t="s">
        <v>8</v>
      </c>
      <c r="G6" t="s">
        <v>21</v>
      </c>
      <c r="H6" t="s">
        <v>24</v>
      </c>
      <c r="I6" s="1">
        <v>1000000</v>
      </c>
      <c r="J6" s="3">
        <v>45962</v>
      </c>
      <c r="K6" s="3">
        <f t="shared" si="0"/>
        <v>45991</v>
      </c>
    </row>
    <row r="7" spans="2:11" x14ac:dyDescent="0.6">
      <c r="E7">
        <v>4</v>
      </c>
      <c r="F7" t="s">
        <v>9</v>
      </c>
      <c r="G7" t="s">
        <v>21</v>
      </c>
      <c r="H7" t="s">
        <v>25</v>
      </c>
      <c r="I7" s="1">
        <v>1000000</v>
      </c>
      <c r="J7" s="3">
        <v>45962</v>
      </c>
      <c r="K7" s="3">
        <f t="shared" si="0"/>
        <v>45991</v>
      </c>
    </row>
    <row r="8" spans="2:11" x14ac:dyDescent="0.6">
      <c r="E8">
        <v>5</v>
      </c>
      <c r="F8" t="s">
        <v>10</v>
      </c>
      <c r="G8" t="s">
        <v>21</v>
      </c>
      <c r="H8" t="s">
        <v>25</v>
      </c>
      <c r="I8" s="1">
        <v>1000000</v>
      </c>
      <c r="J8" s="3">
        <v>45962</v>
      </c>
      <c r="K8" s="3">
        <f t="shared" si="0"/>
        <v>45991</v>
      </c>
    </row>
    <row r="9" spans="2:11" x14ac:dyDescent="0.6">
      <c r="E9">
        <v>6</v>
      </c>
      <c r="F9" t="s">
        <v>11</v>
      </c>
      <c r="G9" t="s">
        <v>22</v>
      </c>
      <c r="H9" t="s">
        <v>26</v>
      </c>
      <c r="I9" s="1">
        <v>500000</v>
      </c>
      <c r="J9" s="3">
        <v>45962</v>
      </c>
      <c r="K9" s="3">
        <v>45976</v>
      </c>
    </row>
    <row r="10" spans="2:11" x14ac:dyDescent="0.6">
      <c r="E10">
        <v>7</v>
      </c>
      <c r="F10" t="s">
        <v>12</v>
      </c>
      <c r="G10" t="s">
        <v>22</v>
      </c>
      <c r="H10" t="s">
        <v>26</v>
      </c>
      <c r="I10" s="1">
        <v>1000000</v>
      </c>
      <c r="J10" s="3">
        <v>45962</v>
      </c>
      <c r="K10" s="3">
        <v>45976</v>
      </c>
    </row>
    <row r="11" spans="2:11" x14ac:dyDescent="0.6">
      <c r="E11">
        <v>8</v>
      </c>
      <c r="F11" t="s">
        <v>13</v>
      </c>
      <c r="G11" t="s">
        <v>22</v>
      </c>
      <c r="H11" t="s">
        <v>27</v>
      </c>
      <c r="I11" s="1">
        <v>1000000</v>
      </c>
      <c r="J11" s="3">
        <v>45977</v>
      </c>
      <c r="K11" s="3">
        <v>45991</v>
      </c>
    </row>
    <row r="12" spans="2:11" x14ac:dyDescent="0.6">
      <c r="E12">
        <v>9</v>
      </c>
      <c r="F12" t="s">
        <v>14</v>
      </c>
      <c r="G12" t="s">
        <v>23</v>
      </c>
      <c r="H12" t="s">
        <v>28</v>
      </c>
      <c r="I12" s="1">
        <v>1000000</v>
      </c>
      <c r="J12" s="3">
        <v>45962</v>
      </c>
      <c r="K12" s="3">
        <v>45976</v>
      </c>
    </row>
    <row r="13" spans="2:11" x14ac:dyDescent="0.6">
      <c r="E13">
        <v>10</v>
      </c>
      <c r="F13" t="s">
        <v>15</v>
      </c>
      <c r="G13" t="s">
        <v>23</v>
      </c>
      <c r="H13" t="s">
        <v>29</v>
      </c>
      <c r="I13" s="1">
        <f>I14-SUM(I4:I12)</f>
        <v>2000000</v>
      </c>
      <c r="J13" s="3">
        <v>45977</v>
      </c>
      <c r="K13" s="3">
        <v>45991</v>
      </c>
    </row>
    <row r="14" spans="2:11" x14ac:dyDescent="0.6">
      <c r="E14" t="s">
        <v>30</v>
      </c>
      <c r="I14" s="1">
        <f>C5</f>
        <v>10000000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エノテカ:事戦・事企:永久悠</dc:creator>
  <cp:lastModifiedBy>エノテカ:事戦・事企:永久悠</cp:lastModifiedBy>
  <dcterms:created xsi:type="dcterms:W3CDTF">2025-11-04T04:38:16Z</dcterms:created>
  <dcterms:modified xsi:type="dcterms:W3CDTF">2025-11-04T07:28:03Z</dcterms:modified>
</cp:coreProperties>
</file>